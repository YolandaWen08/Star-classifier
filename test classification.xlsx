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460" windowHeight="11660"/>
  </bookViews>
  <sheets>
    <sheet name="Skyserver_SQL9_9_2026 12_16_31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<sst xmlns="http://schemas.openxmlformats.org/spreadsheetml/2006/main" count="149" uniqueCount="84">
  <si>
    <t>specobjid</t>
  </si>
  <si>
    <t>SDSS classification</t>
  </si>
  <si>
    <t>spectypehammer(from SDSS)</t>
  </si>
  <si>
    <t>results from the code</t>
  </si>
  <si>
    <t>Fe/H</t>
  </si>
  <si>
    <t>accurate</t>
  </si>
  <si>
    <t>teffspec</t>
  </si>
  <si>
    <t>teffspecunc</t>
  </si>
  <si>
    <t>loggspec</t>
  </si>
  <si>
    <t>loggspecunc</t>
  </si>
  <si>
    <t>fehspec</t>
  </si>
  <si>
    <t>fehspecunc</t>
  </si>
  <si>
    <t>S/N</t>
  </si>
  <si>
    <t>1183346132265232384</t>
  </si>
  <si>
    <t>F5 5700-7200</t>
  </si>
  <si>
    <t>F8</t>
  </si>
  <si>
    <t>F</t>
  </si>
  <si>
    <t>3816811212520390000</t>
  </si>
  <si>
    <t>G2 4900-5700</t>
  </si>
  <si>
    <t>G2</t>
  </si>
  <si>
    <t>G</t>
  </si>
  <si>
    <t>1184479178964100000</t>
  </si>
  <si>
    <t>M9 2100-3400</t>
  </si>
  <si>
    <t>dM</t>
  </si>
  <si>
    <t>M</t>
  </si>
  <si>
    <t>1185705959096340000</t>
  </si>
  <si>
    <t>A0 7200-9700</t>
  </si>
  <si>
    <t>NA</t>
  </si>
  <si>
    <t>A</t>
  </si>
  <si>
    <t>1185618273044030000</t>
  </si>
  <si>
    <t>M3 2100-3400</t>
  </si>
  <si>
    <t>1185619647433560000</t>
  </si>
  <si>
    <t>2191102706242840000</t>
  </si>
  <si>
    <t>M2 2100-3400</t>
  </si>
  <si>
    <t>2455679290289710000</t>
  </si>
  <si>
    <t>G8</t>
  </si>
  <si>
    <t>2455680939557150000</t>
  </si>
  <si>
    <t>F2</t>
  </si>
  <si>
    <t>2455699081499010000</t>
  </si>
  <si>
    <t>F6</t>
  </si>
  <si>
    <t>2133673286591080000</t>
  </si>
  <si>
    <t>G0 4900-5700</t>
  </si>
  <si>
    <t>2605503145891090000</t>
  </si>
  <si>
    <t>2622364706676950000</t>
  </si>
  <si>
    <t>F2 5700-7200</t>
  </si>
  <si>
    <t>G3</t>
  </si>
  <si>
    <t>2622381474229280000</t>
  </si>
  <si>
    <t>2622390545200210000</t>
  </si>
  <si>
    <t>G6</t>
  </si>
  <si>
    <t>average</t>
  </si>
  <si>
    <t>inaccurate</t>
  </si>
  <si>
    <t>2622392744223467520</t>
  </si>
  <si>
    <t>5618.978       (G)</t>
  </si>
  <si>
    <t>3252899729217970000</t>
  </si>
  <si>
    <t>F9 5700-7200</t>
  </si>
  <si>
    <t>5416.101       (G)</t>
  </si>
  <si>
    <t>3281032658410300000</t>
  </si>
  <si>
    <t>K5 3400-4900</t>
  </si>
  <si>
    <t>K4</t>
  </si>
  <si>
    <t>1183392861509410000</t>
  </si>
  <si>
    <t>1184486050911770000</t>
  </si>
  <si>
    <t>K3 3400-4900</t>
  </si>
  <si>
    <t>2455678465655990272</t>
  </si>
  <si>
    <t>K0</t>
  </si>
  <si>
    <t>5397.525       (G)</t>
  </si>
  <si>
    <t>2455710626371100000</t>
  </si>
  <si>
    <t>K2</t>
  </si>
  <si>
    <t>5305.07         (G)</t>
  </si>
  <si>
    <t>2468067224800220000</t>
  </si>
  <si>
    <t>2468077945038590000</t>
  </si>
  <si>
    <t>5357.979       (G)</t>
  </si>
  <si>
    <t>3252895880927270000</t>
  </si>
  <si>
    <t>K1 3400-4900</t>
  </si>
  <si>
    <t>3252900278973780000</t>
  </si>
  <si>
    <t>6359.732       (F)</t>
  </si>
  <si>
    <t>3281032933288200000</t>
  </si>
  <si>
    <t>5513.665       (G)</t>
  </si>
  <si>
    <t>3281043103770760000</t>
  </si>
  <si>
    <t>3281048326450990000</t>
  </si>
  <si>
    <t>K3</t>
  </si>
  <si>
    <t>2605477307367840000</t>
  </si>
  <si>
    <t>5509.249       (G)</t>
  </si>
  <si>
    <t>2622376801304860000</t>
  </si>
  <si>
    <t>5620.081       (G)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</si>
</sst>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0" fillId="0" borderId="0" xfId="0" applyFill="1" quotePrefix="1">
      <alignment vertical="center"/>
    </xf>
    <xf numFmtId="0" fontId="0" fillId="0" borderId="0" xfId="0" applyFill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374650</xdr:colOff>
      <xdr:row>1</xdr:row>
      <xdr:rowOff>106045</xdr:rowOff>
    </xdr:from>
    <xdr:to>
      <xdr:col>20</xdr:col>
      <xdr:colOff>302260</xdr:colOff>
      <xdr:row>16</xdr:row>
      <xdr:rowOff>205105</xdr:rowOff>
    </xdr:to>
    <xdr:pic>
      <xdr:nvPicPr>
        <xdr:cNvPr id="2" name="图片 1" descr="截屏2026-09-10 15.26.3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620115" y="319405"/>
          <a:ext cx="5414010" cy="3299460"/>
        </a:xfrm>
        <a:prstGeom prst="rect">
          <a:avLst/>
        </a:prstGeom>
      </xdr:spPr>
    </xdr:pic>
    <xdr:clientData/>
  </xdr:twoCellAnchor>
  <xdr:twoCellAnchor editAs="oneCell">
    <xdr:from>
      <xdr:col>20</xdr:col>
      <xdr:colOff>27305</xdr:colOff>
      <xdr:row>1</xdr:row>
      <xdr:rowOff>104775</xdr:rowOff>
    </xdr:from>
    <xdr:to>
      <xdr:col>27</xdr:col>
      <xdr:colOff>311150</xdr:colOff>
      <xdr:row>31</xdr:row>
      <xdr:rowOff>168910</xdr:rowOff>
    </xdr:to>
    <xdr:pic>
      <xdr:nvPicPr>
        <xdr:cNvPr id="3" name="图片 2" descr="截屏2026-09-10 15.26.4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759170" y="318135"/>
          <a:ext cx="5084445" cy="6464935"/>
        </a:xfrm>
        <a:prstGeom prst="rect">
          <a:avLst/>
        </a:prstGeom>
      </xdr:spPr>
    </xdr:pic>
    <xdr:clientData/>
  </xdr:twoCellAnchor>
  <xdr:twoCellAnchor editAs="oneCell">
    <xdr:from>
      <xdr:col>13</xdr:col>
      <xdr:colOff>515620</xdr:colOff>
      <xdr:row>17</xdr:row>
      <xdr:rowOff>43815</xdr:rowOff>
    </xdr:from>
    <xdr:to>
      <xdr:col>19</xdr:col>
      <xdr:colOff>189865</xdr:colOff>
      <xdr:row>31</xdr:row>
      <xdr:rowOff>128905</xdr:rowOff>
    </xdr:to>
    <xdr:pic>
      <xdr:nvPicPr>
        <xdr:cNvPr id="4" name="图片 3" descr="截屏2026-09-10 15.38.2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446885" y="3670935"/>
          <a:ext cx="3789045" cy="3072130"/>
        </a:xfrm>
        <a:prstGeom prst="rect">
          <a:avLst/>
        </a:prstGeom>
      </xdr:spPr>
    </xdr:pic>
    <xdr:clientData/>
  </xdr:twoCellAnchor>
  <xdr:twoCellAnchor editAs="oneCell">
    <xdr:from>
      <xdr:col>27</xdr:col>
      <xdr:colOff>327660</xdr:colOff>
      <xdr:row>1</xdr:row>
      <xdr:rowOff>106045</xdr:rowOff>
    </xdr:from>
    <xdr:to>
      <xdr:col>33</xdr:col>
      <xdr:colOff>398780</xdr:colOff>
      <xdr:row>16</xdr:row>
      <xdr:rowOff>111760</xdr:rowOff>
    </xdr:to>
    <xdr:pic>
      <xdr:nvPicPr>
        <xdr:cNvPr id="5" name="图片 4" descr="截屏2026-09-10 15.38.4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860125" y="319405"/>
          <a:ext cx="4185920" cy="32061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tabSelected="1" zoomScale="51" zoomScaleNormal="51" zoomScaleSheetLayoutView="60" topLeftCell="A2" workbookViewId="0">
      <selection activeCell="M8" sqref="M8"/>
    </sheetView>
  </sheetViews>
  <sheetFormatPr defaultColWidth="10.3846153846154" defaultRowHeight="16.8"/>
  <cols>
    <col min="1" max="2" width="23.6153846153846" customWidth="1"/>
    <col min="3" max="3" width="24.8461538461538" customWidth="1"/>
    <col min="4" max="4" width="22.75" customWidth="1"/>
    <col min="5" max="5" width="17.8269230769231" customWidth="1"/>
    <col min="7" max="7" width="15.4519230769231" customWidth="1"/>
    <col min="8" max="8" width="11.7692307692308"/>
    <col min="9" max="9" width="14.0769230769231"/>
    <col min="10" max="11" width="12.9230769230769"/>
  </cols>
  <sheetData>
    <row r="1" spans="1:9">
      <c r="A1" t="s">
        <v>0</v>
      </c>
      <c r="B1" t="s">
        <v>1</v>
      </c>
      <c r="C1" t="s">
        <v>2</v>
      </c>
      <c r="D1" t="s">
        <v>3</v>
      </c>
      <c r="E1"/>
      <c r="F1"/>
      <c r="G1"/>
      <c r="H1"/>
      <c r="I1" t="s">
        <v>4</v>
      </c>
    </row>
    <row r="2" spans="1:11">
      <c r="A2" s="1" t="s">
        <v>5</v>
      </c>
      <c r="B2"/>
      <c r="C2"/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</row>
    <row r="3" spans="1:11">
      <c r="A3" s="8" t="s">
        <v>13</v>
      </c>
      <c r="B3" t="s">
        <v>14</v>
      </c>
      <c r="C3" t="s">
        <v>15</v>
      </c>
      <c r="D3" t="s">
        <v>16</v>
      </c>
      <c r="E3">
        <v>5882.667</v>
      </c>
      <c r="F3">
        <v>30.7158</v>
      </c>
      <c r="G3">
        <v>3.678222</v>
      </c>
      <c r="H3">
        <v>0.09539209</v>
      </c>
      <c r="I3">
        <v>-1.055653</v>
      </c>
      <c r="J3">
        <v>0.02231361</v>
      </c>
      <c r="K3">
        <v>31.4099</v>
      </c>
    </row>
    <row r="4" spans="1:11">
      <c r="A4" s="9" t="s">
        <v>17</v>
      </c>
      <c r="B4" t="s">
        <v>18</v>
      </c>
      <c r="C4" t="s">
        <v>19</v>
      </c>
      <c r="D4" t="s">
        <v>20</v>
      </c>
      <c r="E4">
        <v>5220.325</v>
      </c>
      <c r="F4">
        <v>64.19548</v>
      </c>
      <c r="G4">
        <v>2.822874</v>
      </c>
      <c r="H4">
        <v>0.1850739</v>
      </c>
      <c r="I4">
        <v>-1.460202</v>
      </c>
      <c r="J4">
        <v>0.06791307</v>
      </c>
      <c r="K4">
        <v>27.31585</v>
      </c>
    </row>
    <row r="5" spans="1:11">
      <c r="A5" s="9" t="s">
        <v>21</v>
      </c>
      <c r="B5" t="s">
        <v>22</v>
      </c>
      <c r="C5" t="s">
        <v>23</v>
      </c>
      <c r="D5" t="s">
        <v>24</v>
      </c>
      <c r="K5">
        <v>1.441344</v>
      </c>
    </row>
    <row r="6" spans="1:11">
      <c r="A6" s="9" t="s">
        <v>25</v>
      </c>
      <c r="B6" t="s">
        <v>26</v>
      </c>
      <c r="C6" t="s">
        <v>27</v>
      </c>
      <c r="D6" t="s">
        <v>28</v>
      </c>
      <c r="E6">
        <v>8389.876</v>
      </c>
      <c r="F6">
        <v>149.0332</v>
      </c>
      <c r="G6">
        <v>3.358994</v>
      </c>
      <c r="H6">
        <v>0.2943377</v>
      </c>
      <c r="I6">
        <v>-1.959163</v>
      </c>
      <c r="J6">
        <v>0.047</v>
      </c>
      <c r="K6">
        <v>31.71836</v>
      </c>
    </row>
    <row r="7" spans="1:11">
      <c r="A7" s="9" t="s">
        <v>29</v>
      </c>
      <c r="B7" t="s">
        <v>30</v>
      </c>
      <c r="C7" t="s">
        <v>23</v>
      </c>
      <c r="D7" t="s">
        <v>24</v>
      </c>
      <c r="K7">
        <v>10.0302</v>
      </c>
    </row>
    <row r="8" spans="1:11">
      <c r="A8" s="8" t="s">
        <v>31</v>
      </c>
      <c r="B8" t="s">
        <v>26</v>
      </c>
      <c r="C8" t="s">
        <v>27</v>
      </c>
      <c r="D8" t="s">
        <v>28</v>
      </c>
      <c r="K8">
        <v>6.357148</v>
      </c>
    </row>
    <row r="9" spans="1:11">
      <c r="A9" s="9" t="s">
        <v>32</v>
      </c>
      <c r="B9" t="s">
        <v>33</v>
      </c>
      <c r="C9" t="s">
        <v>23</v>
      </c>
      <c r="D9" t="s">
        <v>24</v>
      </c>
      <c r="K9">
        <v>17.57952</v>
      </c>
    </row>
    <row r="10" spans="1:11">
      <c r="A10" s="8" t="s">
        <v>34</v>
      </c>
      <c r="B10" t="s">
        <v>18</v>
      </c>
      <c r="C10" t="s">
        <v>35</v>
      </c>
      <c r="D10" t="s">
        <v>20</v>
      </c>
      <c r="E10">
        <v>5300.38</v>
      </c>
      <c r="F10">
        <v>74.98277</v>
      </c>
      <c r="G10">
        <v>2.929391</v>
      </c>
      <c r="H10">
        <v>0.1306898</v>
      </c>
      <c r="I10">
        <v>-1.407123</v>
      </c>
      <c r="J10">
        <v>0.01729481</v>
      </c>
      <c r="K10">
        <v>39.42772</v>
      </c>
    </row>
    <row r="11" spans="1:11">
      <c r="A11" s="9" t="s">
        <v>36</v>
      </c>
      <c r="B11" t="s">
        <v>14</v>
      </c>
      <c r="C11" t="s">
        <v>37</v>
      </c>
      <c r="D11" t="s">
        <v>16</v>
      </c>
      <c r="E11">
        <v>6303.428</v>
      </c>
      <c r="F11">
        <v>42.00941</v>
      </c>
      <c r="G11">
        <v>3.715492</v>
      </c>
      <c r="H11">
        <v>0.08699469</v>
      </c>
      <c r="I11">
        <v>-1.633456</v>
      </c>
      <c r="J11">
        <v>0.0538251</v>
      </c>
      <c r="K11">
        <v>43.47746</v>
      </c>
    </row>
    <row r="12" spans="1:11">
      <c r="A12" s="9" t="s">
        <v>38</v>
      </c>
      <c r="B12" t="s">
        <v>14</v>
      </c>
      <c r="C12" t="s">
        <v>39</v>
      </c>
      <c r="D12" t="s">
        <v>16</v>
      </c>
      <c r="E12">
        <v>6066.217</v>
      </c>
      <c r="F12">
        <v>15.21921</v>
      </c>
      <c r="G12">
        <v>4.143109</v>
      </c>
      <c r="H12">
        <v>0.08452806</v>
      </c>
      <c r="I12">
        <v>-1.485975</v>
      </c>
      <c r="J12">
        <v>0.01633701</v>
      </c>
      <c r="K12">
        <v>39.2393</v>
      </c>
    </row>
    <row r="13" spans="1:11">
      <c r="A13" s="9" t="s">
        <v>40</v>
      </c>
      <c r="B13" t="s">
        <v>41</v>
      </c>
      <c r="C13" t="s">
        <v>19</v>
      </c>
      <c r="D13" t="s">
        <v>20</v>
      </c>
      <c r="K13">
        <v>9.943298</v>
      </c>
    </row>
    <row r="14" spans="1:11">
      <c r="A14" s="9" t="s">
        <v>42</v>
      </c>
      <c r="B14" t="s">
        <v>14</v>
      </c>
      <c r="C14" t="s">
        <v>37</v>
      </c>
      <c r="D14" t="s">
        <v>16</v>
      </c>
      <c r="E14">
        <v>6822.57</v>
      </c>
      <c r="F14">
        <v>30.80384</v>
      </c>
      <c r="G14">
        <v>4.224508</v>
      </c>
      <c r="H14">
        <v>0.1186018</v>
      </c>
      <c r="I14">
        <v>-0.3333659</v>
      </c>
      <c r="J14">
        <v>0.02745135</v>
      </c>
      <c r="K14">
        <v>65.89188</v>
      </c>
    </row>
    <row r="15" spans="1:11">
      <c r="A15" s="9" t="s">
        <v>43</v>
      </c>
      <c r="B15" t="s">
        <v>44</v>
      </c>
      <c r="C15" t="s">
        <v>45</v>
      </c>
      <c r="D15" t="s">
        <v>16</v>
      </c>
      <c r="E15">
        <v>5964.426</v>
      </c>
      <c r="F15">
        <v>31.04636</v>
      </c>
      <c r="G15">
        <v>3.966028</v>
      </c>
      <c r="H15">
        <v>0.07558918</v>
      </c>
      <c r="I15">
        <v>-0.693843</v>
      </c>
      <c r="J15">
        <v>0.01287285</v>
      </c>
      <c r="K15">
        <v>27.50664</v>
      </c>
    </row>
    <row r="16" spans="1:11">
      <c r="A16" s="9" t="s">
        <v>46</v>
      </c>
      <c r="B16" t="s">
        <v>14</v>
      </c>
      <c r="C16" t="s">
        <v>37</v>
      </c>
      <c r="D16" t="s">
        <v>16</v>
      </c>
      <c r="E16">
        <v>6633.038</v>
      </c>
      <c r="F16">
        <v>77.00729</v>
      </c>
      <c r="G16">
        <v>3.583187</v>
      </c>
      <c r="H16">
        <v>0.01705611</v>
      </c>
      <c r="I16">
        <v>-0.9573072</v>
      </c>
      <c r="J16">
        <v>0.034</v>
      </c>
      <c r="K16">
        <v>13.56016</v>
      </c>
    </row>
    <row r="17" spans="1:11">
      <c r="A17" s="9" t="s">
        <v>47</v>
      </c>
      <c r="B17" t="s">
        <v>44</v>
      </c>
      <c r="C17" t="s">
        <v>48</v>
      </c>
      <c r="D17" t="s">
        <v>20</v>
      </c>
      <c r="E17">
        <v>5553.587</v>
      </c>
      <c r="F17">
        <v>82.18119</v>
      </c>
      <c r="G17">
        <v>4.270654</v>
      </c>
      <c r="H17">
        <v>0.07448169</v>
      </c>
      <c r="I17">
        <v>-1.985716</v>
      </c>
      <c r="J17">
        <v>0.08058831</v>
      </c>
      <c r="K17">
        <v>29.63901</v>
      </c>
    </row>
    <row r="18" spans="1:11">
      <c r="A18" s="1" t="s">
        <v>49</v>
      </c>
      <c r="G18">
        <f>SUM(G3:G17)/15</f>
        <v>2.44616393333333</v>
      </c>
      <c r="I18">
        <f>SUM(I4:I17)/15</f>
        <v>-0.794410073333333</v>
      </c>
      <c r="K18">
        <f>SUM(K3:K17)/15</f>
        <v>26.3025193333333</v>
      </c>
    </row>
    <row r="19" spans="1:1">
      <c r="A19" s="1" t="s">
        <v>50</v>
      </c>
    </row>
    <row r="20" spans="1:11">
      <c r="A20" s="8" t="s">
        <v>51</v>
      </c>
      <c r="B20" t="s">
        <v>14</v>
      </c>
      <c r="C20" t="s">
        <v>15</v>
      </c>
      <c r="D20" t="s">
        <v>20</v>
      </c>
      <c r="E20" s="6" t="s">
        <v>52</v>
      </c>
      <c r="F20">
        <v>76.73613</v>
      </c>
      <c r="G20">
        <v>3.38898</v>
      </c>
      <c r="H20">
        <v>0.09784541</v>
      </c>
      <c r="I20">
        <v>-1.897297</v>
      </c>
      <c r="J20">
        <v>0.001472414</v>
      </c>
      <c r="K20">
        <v>15.74079</v>
      </c>
    </row>
    <row r="21" spans="1:11">
      <c r="A21" s="8" t="s">
        <v>53</v>
      </c>
      <c r="B21" t="s">
        <v>54</v>
      </c>
      <c r="C21" t="s">
        <v>19</v>
      </c>
      <c r="D21" t="s">
        <v>20</v>
      </c>
      <c r="E21" s="6" t="s">
        <v>55</v>
      </c>
      <c r="F21">
        <v>11.91985</v>
      </c>
      <c r="G21">
        <v>4.384928</v>
      </c>
      <c r="H21">
        <v>0.05810237</v>
      </c>
      <c r="I21">
        <v>-0.4986892</v>
      </c>
      <c r="J21">
        <v>0.02995973</v>
      </c>
      <c r="K21">
        <v>55.92588</v>
      </c>
    </row>
    <row r="22" spans="1:11">
      <c r="A22" s="8" t="s">
        <v>56</v>
      </c>
      <c r="B22" t="s">
        <v>57</v>
      </c>
      <c r="C22" t="s">
        <v>58</v>
      </c>
      <c r="D22" t="s">
        <v>20</v>
      </c>
      <c r="E22">
        <v>4483.259</v>
      </c>
      <c r="F22">
        <v>62.74951</v>
      </c>
      <c r="G22">
        <v>3.726264</v>
      </c>
      <c r="H22">
        <v>0.02545326</v>
      </c>
      <c r="I22">
        <v>-0.6149362</v>
      </c>
      <c r="J22">
        <v>0.07288459</v>
      </c>
      <c r="K22">
        <v>54.5969</v>
      </c>
    </row>
    <row r="23" spans="1:11">
      <c r="A23" s="8" t="s">
        <v>59</v>
      </c>
      <c r="B23" s="3" t="s">
        <v>41</v>
      </c>
      <c r="C23" t="s">
        <v>19</v>
      </c>
      <c r="D23" t="s">
        <v>16</v>
      </c>
      <c r="E23">
        <v>5819.666</v>
      </c>
      <c r="F23">
        <v>112.7124</v>
      </c>
      <c r="G23">
        <v>4.020509</v>
      </c>
      <c r="H23">
        <v>0.1181897</v>
      </c>
      <c r="I23">
        <v>-1.439163</v>
      </c>
      <c r="J23">
        <v>0.0283</v>
      </c>
      <c r="K23">
        <v>16.91929</v>
      </c>
    </row>
    <row r="24" spans="1:11">
      <c r="A24" s="8" t="s">
        <v>60</v>
      </c>
      <c r="B24" s="3" t="s">
        <v>61</v>
      </c>
      <c r="C24" t="s">
        <v>58</v>
      </c>
      <c r="D24" t="s">
        <v>20</v>
      </c>
      <c r="E24">
        <v>4898.516</v>
      </c>
      <c r="F24">
        <v>64.76025</v>
      </c>
      <c r="G24">
        <v>4.659743</v>
      </c>
      <c r="H24">
        <v>0.04055561</v>
      </c>
      <c r="I24">
        <v>-0.7249392</v>
      </c>
      <c r="J24">
        <v>0.05892149</v>
      </c>
      <c r="K24">
        <v>26.83046</v>
      </c>
    </row>
    <row r="25" spans="1:11">
      <c r="A25" s="8" t="s">
        <v>62</v>
      </c>
      <c r="B25" t="s">
        <v>54</v>
      </c>
      <c r="C25" t="s">
        <v>63</v>
      </c>
      <c r="D25" t="s">
        <v>20</v>
      </c>
      <c r="E25" s="6" t="s">
        <v>64</v>
      </c>
      <c r="F25">
        <v>16.8724</v>
      </c>
      <c r="G25">
        <v>4.35342</v>
      </c>
      <c r="H25">
        <v>0.08645264</v>
      </c>
      <c r="I25">
        <v>-0.1686569</v>
      </c>
      <c r="J25">
        <v>0.04742002</v>
      </c>
      <c r="K25">
        <v>52.20317</v>
      </c>
    </row>
    <row r="26" spans="1:11">
      <c r="A26" s="8" t="s">
        <v>65</v>
      </c>
      <c r="B26" t="s">
        <v>54</v>
      </c>
      <c r="C26" t="s">
        <v>66</v>
      </c>
      <c r="D26" t="s">
        <v>20</v>
      </c>
      <c r="E26" s="6" t="s">
        <v>67</v>
      </c>
      <c r="F26">
        <v>23.91871</v>
      </c>
      <c r="G26">
        <v>4.285231</v>
      </c>
      <c r="H26">
        <v>0.04706887</v>
      </c>
      <c r="I26">
        <v>-0.6144394</v>
      </c>
      <c r="J26">
        <v>0.05469087</v>
      </c>
      <c r="K26">
        <v>26.75426</v>
      </c>
    </row>
    <row r="27" spans="1:11">
      <c r="A27" s="8" t="s">
        <v>68</v>
      </c>
      <c r="B27" t="s">
        <v>54</v>
      </c>
      <c r="C27" t="s">
        <v>66</v>
      </c>
      <c r="D27" t="s">
        <v>20</v>
      </c>
      <c r="K27">
        <v>9.152041</v>
      </c>
    </row>
    <row r="28" spans="1:11">
      <c r="A28" s="8" t="s">
        <v>69</v>
      </c>
      <c r="B28" t="s">
        <v>54</v>
      </c>
      <c r="C28" t="s">
        <v>35</v>
      </c>
      <c r="D28" t="s">
        <v>20</v>
      </c>
      <c r="E28" s="6" t="s">
        <v>70</v>
      </c>
      <c r="F28">
        <v>68.34614</v>
      </c>
      <c r="G28">
        <v>4.22593</v>
      </c>
      <c r="H28">
        <v>0.08882225</v>
      </c>
      <c r="I28">
        <v>-0.7035604</v>
      </c>
      <c r="J28">
        <v>0.05763017</v>
      </c>
      <c r="K28">
        <v>24.3928</v>
      </c>
    </row>
    <row r="29" spans="1:11">
      <c r="A29" s="8" t="s">
        <v>71</v>
      </c>
      <c r="B29" t="s">
        <v>72</v>
      </c>
      <c r="C29" t="s">
        <v>66</v>
      </c>
      <c r="D29" t="s">
        <v>20</v>
      </c>
      <c r="E29">
        <v>4838.574</v>
      </c>
      <c r="F29">
        <v>118.7192</v>
      </c>
      <c r="G29">
        <v>1.760612</v>
      </c>
      <c r="H29">
        <v>0.1323624</v>
      </c>
      <c r="I29">
        <v>-0.7335607</v>
      </c>
      <c r="J29">
        <v>0.02541767</v>
      </c>
      <c r="K29">
        <v>58.94344</v>
      </c>
    </row>
    <row r="30" spans="1:11">
      <c r="A30" s="8" t="s">
        <v>73</v>
      </c>
      <c r="B30" t="s">
        <v>26</v>
      </c>
      <c r="C30" t="s">
        <v>27</v>
      </c>
      <c r="D30" t="s">
        <v>16</v>
      </c>
      <c r="E30" s="6" t="s">
        <v>74</v>
      </c>
      <c r="F30">
        <v>35.7224</v>
      </c>
      <c r="G30">
        <v>3.062903</v>
      </c>
      <c r="H30">
        <v>0.251446</v>
      </c>
      <c r="I30">
        <v>-2.588126</v>
      </c>
      <c r="J30">
        <v>0.04966388</v>
      </c>
      <c r="K30">
        <v>39.19513</v>
      </c>
    </row>
    <row r="31" spans="1:11">
      <c r="A31" s="8" t="s">
        <v>75</v>
      </c>
      <c r="B31" t="s">
        <v>54</v>
      </c>
      <c r="C31" t="s">
        <v>35</v>
      </c>
      <c r="D31" t="s">
        <v>20</v>
      </c>
      <c r="E31" s="6" t="s">
        <v>76</v>
      </c>
      <c r="F31">
        <v>12.10136</v>
      </c>
      <c r="G31">
        <v>4.338651</v>
      </c>
      <c r="H31">
        <v>0.05981513</v>
      </c>
      <c r="I31">
        <v>-0.8019307</v>
      </c>
      <c r="J31">
        <v>0.07206929</v>
      </c>
      <c r="K31">
        <v>58.86273</v>
      </c>
    </row>
    <row r="32" spans="1:11">
      <c r="A32" s="8" t="s">
        <v>77</v>
      </c>
      <c r="B32" t="s">
        <v>54</v>
      </c>
      <c r="C32" t="s">
        <v>58</v>
      </c>
      <c r="D32" t="s">
        <v>20</v>
      </c>
      <c r="K32">
        <v>8.656747</v>
      </c>
    </row>
    <row r="33" spans="1:11">
      <c r="A33" s="8" t="s">
        <v>78</v>
      </c>
      <c r="B33" t="s">
        <v>57</v>
      </c>
      <c r="C33" t="s">
        <v>79</v>
      </c>
      <c r="D33" t="s">
        <v>20</v>
      </c>
      <c r="E33">
        <v>4591.027</v>
      </c>
      <c r="F33">
        <v>27.85474</v>
      </c>
      <c r="G33">
        <v>4.047517</v>
      </c>
      <c r="H33">
        <v>0.01881637</v>
      </c>
      <c r="I33">
        <v>-0.08243321</v>
      </c>
      <c r="J33">
        <v>0.003675301</v>
      </c>
      <c r="K33">
        <v>75.80605</v>
      </c>
    </row>
    <row r="34" spans="1:11">
      <c r="A34" s="8" t="s">
        <v>80</v>
      </c>
      <c r="B34" t="s">
        <v>54</v>
      </c>
      <c r="C34" t="s">
        <v>35</v>
      </c>
      <c r="D34" t="s">
        <v>20</v>
      </c>
      <c r="E34" s="6" t="s">
        <v>81</v>
      </c>
      <c r="F34">
        <v>19.71285</v>
      </c>
      <c r="G34">
        <v>4.321659</v>
      </c>
      <c r="H34">
        <v>0.1058793</v>
      </c>
      <c r="I34">
        <v>-0.2258501</v>
      </c>
      <c r="J34">
        <v>0.02818202</v>
      </c>
      <c r="K34">
        <v>61.44342</v>
      </c>
    </row>
    <row r="35" spans="1:11">
      <c r="A35" s="4" t="s">
        <v>82</v>
      </c>
      <c r="B35" s="5" t="s">
        <v>44</v>
      </c>
      <c r="C35" s="5" t="s">
        <v>35</v>
      </c>
      <c r="D35" s="5" t="s">
        <v>20</v>
      </c>
      <c r="E35" s="7" t="s">
        <v>83</v>
      </c>
      <c r="F35" s="5">
        <v>4.070954</v>
      </c>
      <c r="G35" s="5">
        <v>4.214467</v>
      </c>
      <c r="H35" s="5">
        <v>0.09334501</v>
      </c>
      <c r="I35" s="5">
        <v>-0.5782793</v>
      </c>
      <c r="J35" s="5">
        <v>0.03695624</v>
      </c>
      <c r="K35" s="5">
        <v>23.17828</v>
      </c>
    </row>
    <row r="36" spans="1:11">
      <c r="A36" t="s">
        <v>49</v>
      </c>
      <c r="G36">
        <f>SUM(G20:G35)/16</f>
        <v>3.424425875</v>
      </c>
      <c r="I36">
        <f>SUM(I20:I35)/16</f>
        <v>-0.729491331875</v>
      </c>
      <c r="K36">
        <f>SUM(K20:K35)/16</f>
        <v>38.03758675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Skyserver_SQL9_9_2026 12_16_31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Yolanda</cp:lastModifiedBy>
  <dcterms:created xsi:type="dcterms:W3CDTF">2026-09-10T20:16:00Z</dcterms:created>
  <dcterms:modified xsi:type="dcterms:W3CDTF">2026-09-21T15:53:45Z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2052-6.10.1.8873</vt:lpwstr>
  </property>
  <property fmtid="{D5CDD505-2E9C-101B-9397-08002B2CF9AE}" pid="3" name="ICV">
    <vt:lpwstr>EEB899E0CB60F6347C97A36AAF7395D1_43</vt:lpwstr>
  </property>
</Properties>
</file>